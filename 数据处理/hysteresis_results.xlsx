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同步文件\课程作业\2025秋\近物实验\磁光克尔效应\数据处理\"/>
    </mc:Choice>
  </mc:AlternateContent>
  <xr:revisionPtr revIDLastSave="0" documentId="13_ncr:1_{7473145D-49E0-4745-9906-6D3AD5A46B4F}" xr6:coauthVersionLast="47" xr6:coauthVersionMax="47" xr10:uidLastSave="{00000000-0000-0000-0000-000000000000}"/>
  <bookViews>
    <workbookView xWindow="-110" yWindow="-110" windowWidth="25820" windowHeight="16220" xr2:uid="{D76A48F8-7536-4C8C-BE28-A339EC5D0FBE}"/>
  </bookViews>
  <sheets>
    <sheet name="hysteresis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C7" i="1"/>
  <c r="D7" i="1"/>
  <c r="E7" i="1"/>
  <c r="B7" i="1"/>
</calcChain>
</file>

<file path=xl/sharedStrings.xml><?xml version="1.0" encoding="utf-8"?>
<sst xmlns="http://schemas.openxmlformats.org/spreadsheetml/2006/main" count="7" uniqueCount="7">
  <si>
    <t>均值</t>
    <phoneticPr fontId="18" type="noConversion"/>
  </si>
  <si>
    <t>标准差</t>
    <phoneticPr fontId="18" type="noConversion"/>
  </si>
  <si>
    <t>序号</t>
  </si>
  <si>
    <t>椭率饱和值</t>
  </si>
  <si>
    <t>转角矫顽力/deg·mT</t>
  </si>
  <si>
    <t>转角饱和值/deg</t>
  </si>
  <si>
    <t>椭率矫顽力/mT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</si>
</sst>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1D7F-71CC-429F-B941-96E260F3B0CC}">
  <dimension ref="A1:E8"/>
  <sheetViews>
    <sheetView tabSelected="1" workbookViewId="0">
      <selection activeCell="I17" sqref="I17"/>
    </sheetView>
  </sheetViews>
  <sheetFormatPr defaultRowHeight="14" x14ac:dyDescent="0.3"/>
  <sheetData>
    <row r="1" spans="1:5" x14ac:dyDescent="0.3">
      <c r="A1" t="s">
        <v>2</v>
      </c>
      <c r="B1" t="s">
        <v>4</v>
      </c>
      <c r="C1" t="s">
        <v>5</v>
      </c>
      <c r="D1" t="s">
        <v>6</v>
      </c>
      <c r="E1" t="s">
        <v>3</v>
      </c>
    </row>
    <row r="2" spans="1:5" x14ac:dyDescent="0.3">
      <c r="A2">
        <v>1</v>
      </c>
      <c r="B2">
        <v>404.070899420378</v>
      </c>
      <c r="C2">
        <v>0.26726690042048001</v>
      </c>
      <c r="D2">
        <v>-83.410199712578304</v>
      </c>
      <c r="E2">
        <v>7.5602488897035705E-2</v>
      </c>
    </row>
    <row r="3" spans="1:5" x14ac:dyDescent="0.3">
      <c r="A3">
        <v>2</v>
      </c>
      <c r="B3">
        <v>381.05326263631503</v>
      </c>
      <c r="C3">
        <v>0.26974014754434</v>
      </c>
      <c r="D3">
        <v>-128.68821300348799</v>
      </c>
      <c r="E3">
        <v>8.0587675075533993E-2</v>
      </c>
    </row>
    <row r="4" spans="1:5" x14ac:dyDescent="0.3">
      <c r="A4">
        <v>3</v>
      </c>
      <c r="B4">
        <v>379.81249895504999</v>
      </c>
      <c r="C4">
        <v>0.261623399765056</v>
      </c>
      <c r="D4">
        <v>-98.907513959255795</v>
      </c>
      <c r="E4">
        <v>4.9365484643106E-2</v>
      </c>
    </row>
    <row r="5" spans="1:5" x14ac:dyDescent="0.3">
      <c r="A5">
        <v>4</v>
      </c>
      <c r="B5">
        <v>428.03641298949401</v>
      </c>
      <c r="C5">
        <v>0.26453795824652498</v>
      </c>
      <c r="D5">
        <v>-174.48942018031201</v>
      </c>
      <c r="E5">
        <v>8.8605416371063894E-2</v>
      </c>
    </row>
    <row r="6" spans="1:5" x14ac:dyDescent="0.3">
      <c r="A6">
        <v>5</v>
      </c>
      <c r="B6">
        <v>416.67039566260502</v>
      </c>
      <c r="C6">
        <v>0.26110185129332403</v>
      </c>
      <c r="D6">
        <v>-163.40720254835099</v>
      </c>
      <c r="E6">
        <v>8.1774198934021394E-2</v>
      </c>
    </row>
    <row r="7" spans="1:5" x14ac:dyDescent="0.3">
      <c r="A7" t="s">
        <v>0</v>
      </c>
      <c r="B7">
        <f>AVERAGE(B2:B6)</f>
        <v>401.9286939327684</v>
      </c>
      <c r="C7">
        <f t="shared" ref="C7:E7" si="0">AVERAGE(C2:C6)</f>
        <v>0.26485405145394503</v>
      </c>
      <c r="D7">
        <f t="shared" si="0"/>
        <v>-129.78050988079704</v>
      </c>
      <c r="E7">
        <f t="shared" si="0"/>
        <v>7.5187052784152192E-2</v>
      </c>
    </row>
    <row r="8" spans="1:5" x14ac:dyDescent="0.3">
      <c r="A8" t="s">
        <v>1</v>
      </c>
      <c r="B8">
        <f>_xlfn.STDEV.S(B2:B6)</f>
        <v>21.38006969523795</v>
      </c>
      <c r="C8">
        <f t="shared" ref="C8:E8" si="1">_xlfn.STDEV.S(C2:C6)</f>
        <v>3.6848272156216806E-3</v>
      </c>
      <c r="D8">
        <f t="shared" si="1"/>
        <v>39.478417441257335</v>
      </c>
      <c r="E8">
        <f t="shared" si="1"/>
        <v>1.5161923239739838E-2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hysteresis_results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思源 陈</cp:lastModifiedBy>
  <dcterms:created xsi:type="dcterms:W3CDTF">2025-12-24T07:15:43Z</dcterms:created>
  <dcterms:modified xsi:type="dcterms:W3CDTF">2025-12-24T07:37:26Z</dcterms:modified>
</cp:coreProperties>
</file>